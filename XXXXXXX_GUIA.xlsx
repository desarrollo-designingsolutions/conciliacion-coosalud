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60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\ * #,##0.00_-;\-&quot;$&quot;\ * #,##0.00_-;_-&quot;$&quot;\ * &quot;-&quot;??_-;_-@_-"/>
    <numFmt numFmtId="165" formatCode="[$-F800]dddd\,\ mmmm\ dd\,\ yyyy"/>
    <numFmt numFmtId="166" formatCode="dd/mm/yyyy;@"/>
    <numFmt numFmtId="167" formatCode="_-&quot;$&quot;\ * #,##0_-;\-&quot;$&quot;\ * #,##0_-;_-&quot;$&quot;\ * &quot;-&quot;??_-;_-@_-"/>
    <numFmt numFmtId="168" formatCode="&quot;$&quot;\ #,##0.00;\-&quot;$&quot;\ #,##0.00"/>
    <numFmt numFmtId="169" formatCode="\$\ #,##0"/>
  </numFmts>
  <fonts count="15">
    <font>
      <name val="Times New Roman"/>
      <charset val="204"/>
      <color rgb="FF000000"/>
      <sz val="10"/>
    </font>
    <font>
      <name val="Calibri"/>
      <family val="2"/>
      <b val="1"/>
      <sz val="5.5"/>
    </font>
    <font>
      <name val="Calibri"/>
      <family val="2"/>
      <b val="1"/>
      <sz val="5"/>
    </font>
    <font>
      <name val="Calibri"/>
      <family val="1"/>
      <b val="1"/>
      <sz val="5.5"/>
    </font>
    <font>
      <name val="Calibri"/>
      <family val="1"/>
      <b val="1"/>
      <sz val="5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b val="1"/>
      <color rgb="FF000000"/>
      <sz val="5"/>
    </font>
    <font>
      <name val="Times New Roman"/>
      <family val="1"/>
      <color rgb="FF000000"/>
      <sz val="9"/>
    </font>
    <font>
      <name val="Calibri"/>
      <family val="2"/>
      <sz val="9"/>
    </font>
    <font>
      <name val="Calibri"/>
      <family val="2"/>
      <color rgb="FF000000"/>
      <sz val="9"/>
    </font>
    <font>
      <name val="Times New Roman"/>
      <family val="1"/>
      <color rgb="FF000000"/>
      <sz val="6"/>
    </font>
    <font>
      <name val="Trebuchet MS"/>
      <family val="2"/>
      <b val="1"/>
      <color rgb="FF000000"/>
      <sz val="5"/>
    </font>
    <font>
      <name val="Calibri"/>
      <family val="2"/>
      <b val="1"/>
      <color theme="1"/>
      <sz val="5"/>
    </font>
    <font>
      <name val="Calibri"/>
      <family val="2"/>
      <sz val="5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theme="9" tint="0.7999816888943144"/>
      </patternFill>
    </fill>
    <fill>
      <patternFill patternType="solid">
        <fgColor rgb="FFC8C8C8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6" fillId="0" borderId="0"/>
    <xf numFmtId="44" fontId="6" fillId="0" borderId="0"/>
    <xf numFmtId="43" fontId="6" fillId="0" borderId="0"/>
  </cellStyleXfs>
  <cellXfs count="132">
    <xf numFmtId="0" fontId="0" fillId="0" borderId="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8" applyAlignment="1" pivotButton="0" quotePrefix="0" xfId="0">
      <alignment wrapText="1"/>
    </xf>
    <xf numFmtId="0" fontId="4" fillId="0" borderId="9" applyAlignment="1" pivotButton="0" quotePrefix="0" xfId="0">
      <alignment horizontal="left" vertical="top" wrapText="1" indent="4"/>
    </xf>
    <xf numFmtId="164" fontId="0" fillId="0" borderId="2" applyAlignment="1" pivotButton="0" quotePrefix="0" xfId="1">
      <alignment wrapText="1"/>
    </xf>
    <xf numFmtId="164" fontId="0" fillId="0" borderId="5" applyAlignment="1" pivotButton="0" quotePrefix="0" xfId="1">
      <alignment horizontal="left" wrapText="1"/>
    </xf>
    <xf numFmtId="164" fontId="0" fillId="0" borderId="7" applyAlignment="1" pivotButton="0" quotePrefix="0" xfId="1">
      <alignment horizontal="left" wrapText="1"/>
    </xf>
    <xf numFmtId="164" fontId="0" fillId="0" borderId="0" applyAlignment="1" pivotButton="0" quotePrefix="0" xfId="1">
      <alignment horizontal="left" vertical="top"/>
    </xf>
    <xf numFmtId="164" fontId="0" fillId="0" borderId="3" applyAlignment="1" pivotButton="0" quotePrefix="0" xfId="1">
      <alignment wrapText="1"/>
    </xf>
    <xf numFmtId="164" fontId="0" fillId="0" borderId="16" applyAlignment="1" pivotButton="0" quotePrefix="0" xfId="1">
      <alignment horizontal="left" wrapText="1"/>
    </xf>
    <xf numFmtId="164" fontId="0" fillId="0" borderId="8" applyAlignment="1" pivotButton="0" quotePrefix="0" xfId="1">
      <alignment horizontal="left" wrapText="1"/>
    </xf>
    <xf numFmtId="164" fontId="0" fillId="0" borderId="10" applyAlignment="1" pivotButton="0" quotePrefix="0" xfId="1">
      <alignment wrapText="1"/>
    </xf>
    <xf numFmtId="164" fontId="0" fillId="0" borderId="13" applyAlignment="1" pivotButton="0" quotePrefix="0" xfId="1">
      <alignment vertical="center" wrapText="1"/>
    </xf>
    <xf numFmtId="164" fontId="0" fillId="0" borderId="12" applyAlignment="1" pivotButton="0" quotePrefix="0" xfId="1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 wrapText="1"/>
    </xf>
    <xf numFmtId="0" fontId="0" fillId="0" borderId="2" applyAlignment="1" pivotButton="0" quotePrefix="0" xfId="0">
      <alignment vertical="top" wrapText="1"/>
    </xf>
    <xf numFmtId="0" fontId="1" fillId="0" borderId="18" applyAlignment="1" pivotButton="0" quotePrefix="0" xfId="0">
      <alignment horizontal="center" vertical="top" wrapText="1"/>
    </xf>
    <xf numFmtId="0" fontId="0" fillId="0" borderId="5" applyAlignment="1" pivotButton="0" quotePrefix="0" xfId="0">
      <alignment vertical="top" wrapText="1"/>
    </xf>
    <xf numFmtId="0" fontId="1" fillId="0" borderId="19" applyAlignment="1" pivotButton="0" quotePrefix="0" xfId="0">
      <alignment horizontal="center" vertical="top" wrapText="1"/>
    </xf>
    <xf numFmtId="0" fontId="0" fillId="0" borderId="7" applyAlignment="1" pivotButton="0" quotePrefix="0" xfId="0">
      <alignment vertical="top" wrapText="1"/>
    </xf>
    <xf numFmtId="0" fontId="0" fillId="0" borderId="1" applyAlignment="1" pivotButton="0" quotePrefix="0" xfId="0">
      <alignment horizontal="left" wrapText="1"/>
    </xf>
    <xf numFmtId="0" fontId="1" fillId="0" borderId="20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center" vertical="top" wrapText="1"/>
    </xf>
    <xf numFmtId="164" fontId="2" fillId="0" borderId="21" applyAlignment="1" pivotButton="0" quotePrefix="0" xfId="1">
      <alignment horizontal="left" vertical="top" wrapText="1"/>
    </xf>
    <xf numFmtId="1" fontId="7" fillId="0" borderId="16" applyAlignment="1" pivotButton="0" quotePrefix="0" xfId="0">
      <alignment horizontal="center" vertical="top" shrinkToFit="1"/>
    </xf>
    <xf numFmtId="0" fontId="2" fillId="0" borderId="21" applyAlignment="1" pivotButton="0" quotePrefix="0" xfId="0">
      <alignment horizontal="left" vertical="top" wrapText="1"/>
    </xf>
    <xf numFmtId="165" fontId="7" fillId="0" borderId="16" applyAlignment="1" pivotButton="0" quotePrefix="0" xfId="0">
      <alignment horizontal="center" vertical="top" shrinkToFit="1"/>
    </xf>
    <xf numFmtId="166" fontId="7" fillId="0" borderId="16" applyAlignment="1" pivotButton="0" quotePrefix="0" xfId="0">
      <alignment horizontal="center" vertical="top" shrinkToFi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top" wrapText="1"/>
    </xf>
    <xf numFmtId="0" fontId="2" fillId="2" borderId="2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164" fontId="2" fillId="2" borderId="23" applyAlignment="1" pivotButton="0" quotePrefix="0" xfId="1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164" fontId="4" fillId="2" borderId="23" applyAlignment="1" pivotButton="0" quotePrefix="0" xfId="1">
      <alignment horizontal="center" vertical="center" wrapText="1"/>
    </xf>
    <xf numFmtId="0" fontId="8" fillId="0" borderId="16" applyAlignment="1" pivotButton="0" quotePrefix="0" xfId="0">
      <alignment horizontal="left"/>
    </xf>
    <xf numFmtId="167" fontId="8" fillId="0" borderId="16" applyAlignment="1" pivotButton="0" quotePrefix="0" xfId="1">
      <alignment horizontal="left"/>
    </xf>
    <xf numFmtId="17" fontId="8" fillId="0" borderId="16" applyAlignment="1" pivotButton="0" quotePrefix="0" xfId="0">
      <alignment horizontal="left"/>
    </xf>
    <xf numFmtId="0" fontId="9" fillId="0" borderId="16" applyAlignment="1" pivotButton="0" quotePrefix="0" xfId="0">
      <alignment horizontal="left" wrapText="1"/>
    </xf>
    <xf numFmtId="168" fontId="10" fillId="0" borderId="16" applyAlignment="1" pivotButton="0" quotePrefix="0" xfId="1">
      <alignment horizontal="left" shrinkToFit="1"/>
    </xf>
    <xf numFmtId="168" fontId="8" fillId="0" borderId="16" applyAlignment="1" pivotButton="0" quotePrefix="0" xfId="1">
      <alignment horizontal="left" vertical="top" wrapText="1"/>
    </xf>
    <xf numFmtId="0" fontId="11" fillId="0" borderId="16" applyAlignment="1" pivotButton="0" quotePrefix="0" xfId="0">
      <alignment horizontal="justify" wrapText="1"/>
    </xf>
    <xf numFmtId="0" fontId="2" fillId="3" borderId="7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2" fillId="3" borderId="9" applyAlignment="1" pivotButton="0" quotePrefix="0" xfId="0">
      <alignment horizontal="center" vertical="top" wrapText="1"/>
    </xf>
    <xf numFmtId="0" fontId="0" fillId="3" borderId="12" applyAlignment="1" pivotButton="0" quotePrefix="0" xfId="0">
      <alignment horizontal="left" wrapText="1"/>
    </xf>
    <xf numFmtId="167" fontId="0" fillId="4" borderId="24" pivotButton="0" quotePrefix="0" xfId="1"/>
    <xf numFmtId="0" fontId="0" fillId="5" borderId="24" applyAlignment="1" pivotButton="0" quotePrefix="0" xfId="0">
      <alignment wrapText="1"/>
    </xf>
    <xf numFmtId="0" fontId="2" fillId="6" borderId="25" applyAlignment="1" pivotButton="0" quotePrefix="0" xfId="0">
      <alignment horizontal="center" vertical="center" wrapText="1"/>
    </xf>
    <xf numFmtId="0" fontId="2" fillId="6" borderId="21" applyAlignment="1" pivotButton="0" quotePrefix="0" xfId="0">
      <alignment horizontal="center" vertical="center" wrapText="1"/>
    </xf>
    <xf numFmtId="0" fontId="2" fillId="6" borderId="26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 wrapText="1"/>
    </xf>
    <xf numFmtId="169" fontId="12" fillId="0" borderId="1" applyAlignment="1" pivotButton="0" quotePrefix="0" xfId="0">
      <alignment horizontal="center" vertical="center" shrinkToFit="1"/>
    </xf>
    <xf numFmtId="0" fontId="4" fillId="0" borderId="25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top" wrapText="1"/>
    </xf>
    <xf numFmtId="0" fontId="1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1">
      <alignment vertical="top" wrapText="1"/>
    </xf>
    <xf numFmtId="0" fontId="2" fillId="0" borderId="27" applyAlignment="1" pivotButton="0" quotePrefix="0" xfId="0">
      <alignment vertical="top" wrapText="1"/>
    </xf>
    <xf numFmtId="164" fontId="2" fillId="0" borderId="27" applyAlignment="1" pivotButton="0" quotePrefix="0" xfId="1">
      <alignment horizontal="center" vertical="top" wrapText="1"/>
    </xf>
    <xf numFmtId="0" fontId="2" fillId="0" borderId="17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6" borderId="28" applyAlignment="1" pivotButton="0" quotePrefix="0" xfId="0">
      <alignment horizontal="center" wrapText="1"/>
    </xf>
    <xf numFmtId="0" fontId="0" fillId="6" borderId="29" applyAlignment="1" pivotButton="0" quotePrefix="0" xfId="0">
      <alignment horizontal="center" wrapText="1"/>
    </xf>
    <xf numFmtId="0" fontId="2" fillId="6" borderId="3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left" vertical="top" wrapText="1"/>
    </xf>
    <xf numFmtId="0" fontId="2" fillId="0" borderId="29" applyAlignment="1" pivotButton="0" quotePrefix="0" xfId="0">
      <alignment horizontal="left" vertical="top" wrapText="1"/>
    </xf>
    <xf numFmtId="0" fontId="14" fillId="0" borderId="16" applyAlignment="1" pivotButton="0" quotePrefix="0" xfId="0">
      <alignment horizontal="center" vertical="top" wrapText="1"/>
    </xf>
    <xf numFmtId="164" fontId="0" fillId="0" borderId="25" applyAlignment="1" pivotButton="0" quotePrefix="0" xfId="1">
      <alignment wrapText="1"/>
    </xf>
    <xf numFmtId="0" fontId="0" fillId="0" borderId="26" applyAlignment="1" pivotButton="0" quotePrefix="0" xfId="0">
      <alignment wrapText="1"/>
    </xf>
    <xf numFmtId="0" fontId="14" fillId="0" borderId="21" applyAlignment="1" pivotButton="0" quotePrefix="0" xfId="0">
      <alignment vertical="top" wrapText="1"/>
    </xf>
    <xf numFmtId="0" fontId="0" fillId="0" borderId="26" applyAlignment="1" pivotButton="0" quotePrefix="0" xfId="0">
      <alignment vertical="center" wrapText="1"/>
    </xf>
    <xf numFmtId="164" fontId="0" fillId="0" borderId="25" applyAlignment="1" pivotButton="0" quotePrefix="0" xfId="1">
      <alignment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14" fillId="0" borderId="30" applyAlignment="1" pivotButton="0" quotePrefix="0" xfId="0">
      <alignment horizontal="center" vertical="top" wrapText="1"/>
    </xf>
    <xf numFmtId="0" fontId="14" fillId="0" borderId="26" applyAlignment="1" pivotButton="0" quotePrefix="0" xfId="0">
      <alignment horizontal="center" vertical="top" wrapText="1"/>
    </xf>
    <xf numFmtId="0" fontId="0" fillId="0" borderId="0" pivotButton="0" quotePrefix="0" xfId="0"/>
    <xf numFmtId="164" fontId="0" fillId="0" borderId="0" applyAlignment="1" pivotButton="0" quotePrefix="0" xfId="1">
      <alignment horizontal="left" vertical="top"/>
    </xf>
    <xf numFmtId="164" fontId="0" fillId="0" borderId="2" applyAlignment="1" pivotButton="0" quotePrefix="0" xfId="1">
      <alignment wrapText="1"/>
    </xf>
    <xf numFmtId="164" fontId="0" fillId="0" borderId="3" applyAlignment="1" pivotButton="0" quotePrefix="0" xfId="1">
      <alignment wrapText="1"/>
    </xf>
    <xf numFmtId="164" fontId="0" fillId="0" borderId="10" applyAlignment="1" pivotButton="0" quotePrefix="0" xfId="1">
      <alignment wrapText="1"/>
    </xf>
    <xf numFmtId="164" fontId="0" fillId="0" borderId="5" applyAlignment="1" pivotButton="0" quotePrefix="0" xfId="1">
      <alignment horizontal="left" wrapText="1"/>
    </xf>
    <xf numFmtId="164" fontId="0" fillId="0" borderId="16" applyAlignment="1" pivotButton="0" quotePrefix="0" xfId="1">
      <alignment horizontal="left" wrapText="1"/>
    </xf>
    <xf numFmtId="164" fontId="0" fillId="0" borderId="13" applyAlignment="1" pivotButton="0" quotePrefix="0" xfId="1">
      <alignment vertical="center" wrapText="1"/>
    </xf>
    <xf numFmtId="164" fontId="0" fillId="0" borderId="7" applyAlignment="1" pivotButton="0" quotePrefix="0" xfId="1">
      <alignment horizontal="left" wrapText="1"/>
    </xf>
    <xf numFmtId="164" fontId="0" fillId="0" borderId="8" applyAlignment="1" pivotButton="0" quotePrefix="0" xfId="1">
      <alignment horizontal="left" wrapText="1"/>
    </xf>
    <xf numFmtId="164" fontId="0" fillId="0" borderId="12" applyAlignment="1" pivotButton="0" quotePrefix="0" xfId="1">
      <alignment vertical="center" wrapText="1"/>
    </xf>
    <xf numFmtId="0" fontId="0" fillId="0" borderId="3" pivotButton="0" quotePrefix="0" xfId="0"/>
    <xf numFmtId="164" fontId="2" fillId="0" borderId="21" applyAlignment="1" pivotButton="0" quotePrefix="0" xfId="1">
      <alignment horizontal="left" vertical="top" wrapText="1"/>
    </xf>
    <xf numFmtId="165" fontId="7" fillId="0" borderId="16" applyAlignment="1" pivotButton="0" quotePrefix="0" xfId="0">
      <alignment horizontal="center" vertical="top" shrinkToFit="1"/>
    </xf>
    <xf numFmtId="166" fontId="7" fillId="0" borderId="16" applyAlignment="1" pivotButton="0" quotePrefix="0" xfId="0">
      <alignment horizontal="center" vertical="top" shrinkToFit="1"/>
    </xf>
    <xf numFmtId="164" fontId="2" fillId="2" borderId="23" applyAlignment="1" pivotButton="0" quotePrefix="0" xfId="1">
      <alignment horizontal="center" vertical="center" wrapText="1"/>
    </xf>
    <xf numFmtId="164" fontId="4" fillId="2" borderId="23" applyAlignment="1" pivotButton="0" quotePrefix="0" xfId="1">
      <alignment horizontal="center" vertical="center" wrapText="1"/>
    </xf>
    <xf numFmtId="167" fontId="8" fillId="0" borderId="16" applyAlignment="1" pivotButton="0" quotePrefix="0" xfId="1">
      <alignment horizontal="left"/>
    </xf>
    <xf numFmtId="168" fontId="10" fillId="0" borderId="16" applyAlignment="1" pivotButton="0" quotePrefix="0" xfId="1">
      <alignment horizontal="left" shrinkToFit="1"/>
    </xf>
    <xf numFmtId="168" fontId="8" fillId="0" borderId="16" applyAlignment="1" pivotButton="0" quotePrefix="0" xfId="1">
      <alignment horizontal="left" vertical="top" wrapText="1"/>
    </xf>
    <xf numFmtId="167" fontId="0" fillId="4" borderId="24" pivotButton="0" quotePrefix="0" xfId="1"/>
    <xf numFmtId="169" fontId="12" fillId="0" borderId="1" applyAlignment="1" pivotButton="0" quotePrefix="0" xfId="0">
      <alignment horizontal="center" vertical="center" shrinkToFit="1"/>
    </xf>
    <xf numFmtId="164" fontId="0" fillId="0" borderId="0" applyAlignment="1" pivotButton="0" quotePrefix="0" xfId="1">
      <alignment vertical="top" wrapText="1"/>
    </xf>
    <xf numFmtId="164" fontId="2" fillId="0" borderId="0" applyAlignment="1" pivotButton="0" quotePrefix="0" xfId="1">
      <alignment vertical="top" wrapText="1"/>
    </xf>
    <xf numFmtId="164" fontId="2" fillId="0" borderId="27" applyAlignment="1" pivotButton="0" quotePrefix="0" xfId="1">
      <alignment horizontal="center" vertical="top" wrapText="1"/>
    </xf>
    <xf numFmtId="0" fontId="14" fillId="0" borderId="31" applyAlignment="1" pivotButton="0" quotePrefix="0" xfId="0">
      <alignment horizontal="center" vertical="top" wrapText="1"/>
    </xf>
    <xf numFmtId="0" fontId="0" fillId="0" borderId="26" pivotButton="0" quotePrefix="0" xfId="0"/>
    <xf numFmtId="164" fontId="0" fillId="0" borderId="25" applyAlignment="1" pivotButton="0" quotePrefix="0" xfId="1">
      <alignment wrapText="1"/>
    </xf>
    <xf numFmtId="164" fontId="0" fillId="0" borderId="25" applyAlignment="1" pivotButton="0" quotePrefix="0" xfId="1">
      <alignment vertical="center" wrapText="1"/>
    </xf>
  </cellXfs>
  <cellStyles count="4">
    <cellStyle name="Normal" xfId="0" builtinId="0"/>
    <cellStyle name="Moneda" xfId="1" builtinId="4"/>
    <cellStyle name="Moneda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333275</colOff>
      <row>0</row>
      <rowOff>113004</rowOff>
    </from>
    <ext cx="1333500" cy="244340"/>
    <pic>
      <nvPicPr>
        <cNvPr id="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3275" y="113004"/>
          <a:ext cx="1333500" cy="2443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tabSelected="1" view="pageBreakPreview" topLeftCell="A9" zoomScale="110" zoomScaleNormal="110" zoomScaleSheetLayoutView="110" workbookViewId="0">
      <selection activeCell="F28" sqref="F28:G28"/>
    </sheetView>
  </sheetViews>
  <sheetFormatPr baseColWidth="10" defaultColWidth="8.796875" defaultRowHeight="13"/>
  <cols>
    <col width="14.3984375" customWidth="1" style="103" min="1" max="1"/>
    <col width="15.19921875" customWidth="1" style="103" min="2" max="2"/>
    <col width="14.3984375" customWidth="1" style="103" min="3" max="3"/>
    <col width="20.796875" customWidth="1" style="103" min="4" max="4"/>
    <col width="18.796875" customWidth="1" style="104" min="5" max="5"/>
    <col width="13.19921875" customWidth="1" style="103" min="6" max="6"/>
    <col width="12.3984375" customWidth="1" style="103" min="7" max="7"/>
    <col width="18" bestFit="1" customWidth="1" style="104" min="8" max="8"/>
    <col width="17.3984375" customWidth="1" style="103" min="9" max="9"/>
    <col width="19" customWidth="1" style="103" min="10" max="10"/>
    <col width="25.3984375" bestFit="1" customWidth="1" style="104" min="11" max="11"/>
    <col width="18" customWidth="1" style="103" min="12" max="12"/>
    <col width="31.19921875" customWidth="1" style="103" min="13" max="13"/>
  </cols>
  <sheetData>
    <row r="1">
      <c r="A1" s="26" t="n"/>
      <c r="B1" s="7" t="n"/>
      <c r="C1" s="7" t="n"/>
      <c r="D1" s="8" t="n"/>
      <c r="E1" s="105" t="n"/>
      <c r="F1" s="6" t="n"/>
      <c r="G1" s="6" t="n"/>
      <c r="H1" s="106" t="n"/>
      <c r="I1" s="6" t="n"/>
      <c r="J1" s="6" t="n"/>
      <c r="K1" s="107" t="n"/>
      <c r="L1" s="1" t="inlineStr">
        <is>
          <t>Código</t>
        </is>
      </c>
      <c r="M1" s="27" t="inlineStr">
        <is>
          <t>GF-F-16</t>
        </is>
      </c>
    </row>
    <row r="2" ht="15" customHeight="1" s="103">
      <c r="A2" s="28" t="n"/>
      <c r="B2" s="24" t="n"/>
      <c r="C2" s="24" t="n"/>
      <c r="D2" s="9" t="n"/>
      <c r="E2" s="108" t="n"/>
      <c r="F2" s="25" t="inlineStr">
        <is>
          <t>ACTA DE CONCILIACION #</t>
        </is>
      </c>
      <c r="G2" s="25" t="n"/>
      <c r="H2" s="109" t="n"/>
      <c r="I2" s="2" t="inlineStr">
        <is>
          <t>Modalidad de Contrato</t>
        </is>
      </c>
      <c r="J2" s="3" t="n"/>
      <c r="K2" s="110" t="n"/>
      <c r="L2" s="4" t="inlineStr">
        <is>
          <t>Version</t>
        </is>
      </c>
      <c r="M2" s="29" t="inlineStr">
        <is>
          <t>ACT-02</t>
        </is>
      </c>
    </row>
    <row r="3" ht="15" customHeight="1" s="103">
      <c r="A3" s="30" t="n"/>
      <c r="B3" s="10" t="n"/>
      <c r="C3" s="10" t="n"/>
      <c r="D3" s="11" t="n"/>
      <c r="E3" s="111" t="n"/>
      <c r="F3" s="12" t="n"/>
      <c r="G3" s="12" t="n"/>
      <c r="H3" s="112" t="n"/>
      <c r="I3" s="13" t="inlineStr">
        <is>
          <t>Recobros</t>
        </is>
      </c>
      <c r="J3" s="31" t="n"/>
      <c r="K3" s="113" t="n"/>
      <c r="L3" s="5" t="inlineStr">
        <is>
          <t>Fecha Creación</t>
        </is>
      </c>
      <c r="M3" s="32" t="inlineStr">
        <is>
          <t>2025.ene.02</t>
        </is>
      </c>
    </row>
    <row r="4" ht="15" customHeight="1" s="103">
      <c r="A4" s="33" t="inlineStr">
        <is>
          <t>Departamento</t>
        </is>
      </c>
      <c r="B4" s="99" t="inlineStr">
        <is>
          <t>ATLÁNTICO</t>
        </is>
      </c>
      <c r="C4" s="100" t="n"/>
      <c r="D4" s="36" t="n"/>
      <c r="E4" s="37" t="inlineStr">
        <is>
          <t>Nombre Prestador de servicios (PS):</t>
        </is>
      </c>
      <c r="F4" s="38" t="n"/>
      <c r="G4" s="39" t="n"/>
      <c r="H4" s="99" t="inlineStr">
        <is>
          <t>CALIDAD MEDICA IPS SAS</t>
        </is>
      </c>
      <c r="I4" s="114" t="n"/>
      <c r="J4" s="114" t="n"/>
      <c r="K4" s="39" t="n"/>
      <c r="L4" s="3" t="inlineStr">
        <is>
          <t>EAPB</t>
        </is>
      </c>
      <c r="M4" s="3" t="inlineStr">
        <is>
          <t>COOSALUD EPS-S</t>
        </is>
      </c>
    </row>
    <row r="5" ht="15" customHeight="1" s="103">
      <c r="A5" s="40" t="inlineStr">
        <is>
          <t>Municipio</t>
        </is>
      </c>
      <c r="B5" s="41" t="inlineStr">
        <is>
          <t>SOLEDAD</t>
        </is>
      </c>
      <c r="C5" s="41" t="n"/>
      <c r="D5" s="41" t="n"/>
      <c r="E5" s="115" t="inlineStr">
        <is>
          <t>NIT:</t>
        </is>
      </c>
      <c r="F5" s="43" t="n">
        <v>802013872</v>
      </c>
      <c r="G5" s="43" t="n"/>
      <c r="H5" s="43" t="n"/>
      <c r="I5" s="44" t="inlineStr">
        <is>
          <t>Fecha Conciliación</t>
        </is>
      </c>
      <c r="J5" s="116" t="n">
        <v>45925</v>
      </c>
      <c r="K5" s="117" t="n"/>
      <c r="L5" s="6" t="n"/>
      <c r="M5" s="6" t="n"/>
    </row>
    <row r="6">
      <c r="A6" s="47" t="n"/>
      <c r="M6" s="48" t="n"/>
    </row>
    <row r="7" ht="20" customHeight="1" s="103">
      <c r="A7" s="49" t="inlineStr">
        <is>
          <t>Número de Factura</t>
        </is>
      </c>
      <c r="B7" s="50" t="inlineStr">
        <is>
          <t>Número de Sub
Factura</t>
        </is>
      </c>
      <c r="C7" s="51" t="inlineStr">
        <is>
          <t>Código Glosa</t>
        </is>
      </c>
      <c r="D7" s="51" t="inlineStr">
        <is>
          <t>Contrato #</t>
        </is>
      </c>
      <c r="E7" s="118" t="inlineStr">
        <is>
          <t>Valor Factura</t>
        </is>
      </c>
      <c r="F7" s="51" t="inlineStr">
        <is>
          <t>Mes facturado</t>
        </is>
      </c>
      <c r="G7" s="53" t="inlineStr">
        <is>
          <t>Departamento del
Afiliado</t>
        </is>
      </c>
      <c r="H7" s="118" t="inlineStr">
        <is>
          <t>Valor Glosa Inicial</t>
        </is>
      </c>
      <c r="I7" s="53" t="inlineStr">
        <is>
          <t>Valor pendiente por
conciliar</t>
        </is>
      </c>
      <c r="J7" s="53" t="inlineStr">
        <is>
          <t>Valor aceptado por EPS
en conciliación</t>
        </is>
      </c>
      <c r="K7" s="119" t="inlineStr">
        <is>
          <t>Valor aceptado por IPS en
conciliación</t>
        </is>
      </c>
      <c r="L7" s="53" t="inlineStr">
        <is>
          <t>Valor ratificado no
acuerdo</t>
        </is>
      </c>
      <c r="M7" s="53" t="inlineStr">
        <is>
          <t>Justificación de la Conciliación con el
Prestador de servicios (PS)</t>
        </is>
      </c>
    </row>
    <row r="8" ht="44" customHeight="1" s="103">
      <c r="A8" s="55" t="inlineStr">
        <is>
          <t>CM111557</t>
        </is>
      </c>
      <c r="B8" s="55" t="inlineStr">
        <is>
          <t>CM111557</t>
        </is>
      </c>
      <c r="C8" s="55" t="n">
        <v>332</v>
      </c>
      <c r="D8" s="55" t="inlineStr">
        <is>
          <t>20001C00030092-24</t>
        </is>
      </c>
      <c r="E8" s="120" t="n">
        <v>2351901</v>
      </c>
      <c r="F8" s="57" t="inlineStr">
        <is>
          <t>0/0/0</t>
        </is>
      </c>
      <c r="G8" s="58" t="inlineStr">
        <is>
          <t>ATLÁNTICO</t>
        </is>
      </c>
      <c r="H8" s="120" t="n">
        <v>2351901</v>
      </c>
      <c r="I8" s="121" t="n">
        <v>0</v>
      </c>
      <c r="J8" s="120" t="n">
        <v>2190085</v>
      </c>
      <c r="K8" s="120" t="n">
        <v>161816</v>
      </c>
      <c r="L8" s="122" t="n">
        <v>0</v>
      </c>
      <c r="M8" s="61" t="inlineStr">
        <is>
          <t>SE LEVANTA DE GLOSA PARCIAL, EL PRESTADOR ADJUNTARON SOPORTES NECESARIOS PARA LA GLOSA APLICADA Y ADICIONAN EL CONTRATO Y ANEXOS DEL MISMO</t>
        </is>
      </c>
    </row>
    <row r="9">
      <c r="A9" s="62" t="inlineStr">
        <is>
          <t>TOTAL</t>
        </is>
      </c>
      <c r="B9" s="63" t="n"/>
      <c r="C9" s="64" t="n"/>
      <c r="D9" s="65" t="n"/>
      <c r="E9" s="123" t="n">
        <v>5016137427</v>
      </c>
      <c r="F9" s="65" t="n"/>
      <c r="G9" s="65" t="n"/>
      <c r="H9" s="123" t="n">
        <v>4641315893</v>
      </c>
      <c r="I9" s="123" t="n">
        <v>0</v>
      </c>
      <c r="J9" s="123" t="n">
        <v>4084357986</v>
      </c>
      <c r="K9" s="123" t="n">
        <v>556957907</v>
      </c>
      <c r="L9" s="123" t="n">
        <v>0</v>
      </c>
      <c r="M9" s="67" t="n"/>
    </row>
    <row r="10">
      <c r="M10" s="48" t="n"/>
    </row>
    <row r="11">
      <c r="A11" s="68" t="inlineStr">
        <is>
          <t>RESULTADO CONCILIACION</t>
        </is>
      </c>
      <c r="B11" s="69" t="n"/>
      <c r="C11" s="70" t="n"/>
      <c r="M11" s="48" t="n"/>
    </row>
    <row r="12">
      <c r="A12" s="71" t="inlineStr">
        <is>
          <t>Valor Factura</t>
        </is>
      </c>
      <c r="B12" s="72" t="n"/>
      <c r="C12" s="124">
        <f>E9</f>
        <v/>
      </c>
      <c r="M12" s="48" t="n"/>
    </row>
    <row r="13">
      <c r="A13" s="71" t="inlineStr">
        <is>
          <t>Valor Glosa Inicial</t>
        </is>
      </c>
      <c r="B13" s="72" t="n"/>
      <c r="C13" s="124">
        <f>H9</f>
        <v/>
      </c>
      <c r="M13" s="48" t="n"/>
    </row>
    <row r="14">
      <c r="A14" s="71" t="inlineStr">
        <is>
          <t>Valor pendiente por conciliar</t>
        </is>
      </c>
      <c r="B14" s="72" t="n"/>
      <c r="C14" s="124" t="n">
        <v>0</v>
      </c>
      <c r="M14" s="48" t="n"/>
    </row>
    <row r="15" ht="20" customHeight="1" s="103">
      <c r="A15" s="71" t="inlineStr">
        <is>
          <t>Valor aceptado por EPS en conciliación</t>
        </is>
      </c>
      <c r="B15" s="72" t="n"/>
      <c r="C15" s="124">
        <f>J9</f>
        <v/>
      </c>
      <c r="M15" s="48" t="n"/>
    </row>
    <row r="16" ht="20" customHeight="1" s="103">
      <c r="A16" s="74" t="inlineStr">
        <is>
          <t>Valor aceptado por IPS en conciliación</t>
        </is>
      </c>
      <c r="B16" s="75" t="n"/>
      <c r="C16" s="124">
        <f>K9</f>
        <v/>
      </c>
      <c r="M16" s="48" t="n"/>
    </row>
    <row r="17">
      <c r="A17" s="74" t="inlineStr">
        <is>
          <t>Valor ratifícado no acuerdo</t>
        </is>
      </c>
      <c r="B17" s="75" t="n"/>
      <c r="C17" s="124" t="n">
        <v>0</v>
      </c>
      <c r="M17" s="48" t="n"/>
    </row>
    <row r="18">
      <c r="A18" s="24" t="n"/>
      <c r="B18" s="24" t="n"/>
      <c r="C18" s="24" t="n"/>
      <c r="D18" s="24" t="n"/>
      <c r="E18" s="125" t="n"/>
      <c r="F18" s="24" t="n"/>
      <c r="G18" s="24" t="n"/>
      <c r="H18" s="125" t="n"/>
      <c r="I18" s="24" t="n"/>
      <c r="J18" s="24" t="n"/>
      <c r="K18" s="125" t="n"/>
      <c r="L18" s="24" t="n"/>
      <c r="M18" s="48" t="n"/>
    </row>
    <row r="19" ht="70" customHeight="1" s="103">
      <c r="A19" s="77" t="inlineStr">
        <is>
          <t>La presente acta se expide en la ciudad de CARTAGENA, el día 25 del mes de SEPTIEMBRE de 2025  y se suscribe por los funcionarios representates de las entidades que participan en el proceso de conciliación.</t>
        </is>
      </c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</row>
    <row r="20" ht="90" customHeight="1" s="103">
      <c r="A20" s="78" t="inlineStr">
        <is>
          <t>CLAUSULA ACLARATORIA: INTEGRALIDAD DE LA CARTERA: Los saldos dispuestos en la presente acta no constituyen una cuenta de cobro, hasta tanto sea cotejado y analizado en el marco de la integralidad de cartera entre el prestador de servicios y la EPS.</t>
        </is>
      </c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</row>
    <row r="21">
      <c r="A21" s="79" t="n"/>
      <c r="B21" s="79" t="n"/>
      <c r="C21" s="79" t="n"/>
      <c r="D21" s="79" t="n"/>
      <c r="E21" s="126" t="n"/>
      <c r="F21" s="79" t="n"/>
      <c r="G21" s="79" t="n"/>
      <c r="H21" s="126" t="n"/>
      <c r="I21" s="79" t="n"/>
      <c r="J21" s="79" t="n"/>
      <c r="K21" s="126" t="n"/>
      <c r="L21" s="79" t="n"/>
      <c r="M21" s="48" t="n"/>
    </row>
    <row r="22">
      <c r="A22" s="81" t="n"/>
      <c r="B22" s="81" t="n"/>
      <c r="C22" s="81" t="n"/>
      <c r="D22" s="79" t="n"/>
      <c r="E22" s="126" t="n"/>
      <c r="F22" s="79" t="n"/>
      <c r="G22" s="79" t="n"/>
      <c r="H22" s="127" t="n"/>
      <c r="I22" s="127" t="n"/>
      <c r="J22" s="79" t="n"/>
      <c r="K22" s="126" t="n"/>
      <c r="L22" s="79" t="n"/>
      <c r="M22" s="48" t="n"/>
    </row>
    <row r="23">
      <c r="A23" s="83" t="inlineStr">
        <is>
          <t>Firma</t>
        </is>
      </c>
      <c r="B23" s="83" t="n"/>
      <c r="C23" s="79" t="n"/>
      <c r="D23" s="79" t="n"/>
      <c r="E23" s="126" t="n"/>
      <c r="F23" s="79" t="n"/>
      <c r="G23" s="79" t="n"/>
      <c r="H23" s="83" t="inlineStr">
        <is>
          <t>Firma</t>
        </is>
      </c>
      <c r="I23" s="83" t="n"/>
      <c r="J23" s="79" t="n"/>
      <c r="K23" s="126" t="n"/>
      <c r="L23" s="79" t="n"/>
      <c r="M23" s="48" t="n"/>
    </row>
    <row r="24" ht="20" customHeight="1" s="103">
      <c r="A24" s="84" t="inlineStr">
        <is>
          <t xml:space="preserve">Nombre representante del IPS : </t>
        </is>
      </c>
      <c r="B24" s="84" t="n"/>
      <c r="C24" s="79" t="n"/>
      <c r="D24" s="79" t="n"/>
      <c r="E24" s="126" t="n"/>
      <c r="F24" s="79" t="n"/>
      <c r="G24" s="79" t="n"/>
      <c r="H24" s="84" t="inlineStr">
        <is>
          <t>Nombre representante de la EPS : ANDRES FELIPE LOSADA MURCIA</t>
        </is>
      </c>
      <c r="I24" s="84" t="n"/>
      <c r="J24" s="79" t="n"/>
      <c r="K24" s="126" t="n"/>
      <c r="L24" s="79" t="n"/>
      <c r="M24" s="48" t="n"/>
    </row>
    <row r="25">
      <c r="A25" s="84" t="inlineStr">
        <is>
          <t xml:space="preserve">Cargo: </t>
        </is>
      </c>
      <c r="B25" s="84" t="n"/>
      <c r="C25" s="79" t="n"/>
      <c r="D25" s="79" t="n"/>
      <c r="E25" s="126" t="n"/>
      <c r="F25" s="79" t="n"/>
      <c r="G25" s="79" t="n"/>
      <c r="H25" s="84" t="inlineStr">
        <is>
          <t>Cargo: GERENTE DE CUENTAS MEDICAS</t>
        </is>
      </c>
      <c r="I25" s="84" t="n"/>
      <c r="J25" s="79" t="n"/>
      <c r="K25" s="126" t="n"/>
      <c r="L25" s="79" t="n"/>
      <c r="M25" s="48" t="n"/>
    </row>
    <row r="26">
      <c r="A26" s="79" t="n"/>
      <c r="B26" s="79" t="n"/>
      <c r="C26" s="79" t="n"/>
      <c r="D26" s="79" t="n"/>
      <c r="E26" s="126" t="n"/>
      <c r="F26" s="79" t="n"/>
      <c r="G26" s="79" t="n"/>
      <c r="H26" s="126" t="n"/>
      <c r="I26" s="79" t="n"/>
      <c r="J26" s="79" t="n"/>
      <c r="K26" s="126" t="n"/>
      <c r="L26" s="79" t="n"/>
      <c r="M26" s="48" t="n"/>
    </row>
    <row r="27">
      <c r="A27" s="85" t="n"/>
      <c r="B27" s="86" t="n"/>
      <c r="C27" s="87" t="inlineStr">
        <is>
          <t>NOMBRE</t>
        </is>
      </c>
      <c r="D27" s="87" t="n"/>
      <c r="E27" s="88" t="n"/>
      <c r="F27" s="68" t="inlineStr">
        <is>
          <t>CARGO</t>
        </is>
      </c>
      <c r="G27" s="70" t="n"/>
      <c r="H27" s="68" t="inlineStr">
        <is>
          <t>FIRMA</t>
        </is>
      </c>
      <c r="I27" s="70" t="n"/>
      <c r="M27" s="48" t="n"/>
    </row>
    <row r="28">
      <c r="A28" s="89" t="inlineStr">
        <is>
          <t>Elaboro (Conciliador)</t>
        </is>
      </c>
      <c r="B28" s="90" t="n"/>
      <c r="C28" s="91" t="n"/>
      <c r="D28" s="91" t="n"/>
      <c r="E28" s="91" t="n"/>
      <c r="F28" s="128" t="n"/>
      <c r="G28" s="129" t="n"/>
      <c r="H28" s="130" t="n"/>
      <c r="I28" s="93" t="n"/>
      <c r="M28" s="48" t="n"/>
    </row>
    <row r="29" ht="20" customHeight="1" s="103">
      <c r="A29" s="89" t="inlineStr">
        <is>
          <t>Reviso (Lider de glosas y conciliaciones)</t>
        </is>
      </c>
      <c r="B29" s="90" t="n"/>
      <c r="C29" s="91" t="n"/>
      <c r="D29" s="91" t="n"/>
      <c r="E29" s="91" t="n"/>
      <c r="F29" s="94" t="n"/>
      <c r="G29" s="95" t="n"/>
      <c r="H29" s="131" t="n"/>
      <c r="I29" s="95" t="n"/>
      <c r="M29" s="48" t="n"/>
    </row>
    <row r="30" ht="20" customHeight="1" s="103">
      <c r="A30" s="89" t="inlineStr">
        <is>
          <t>Aprobó (Coordinador de glosas y Conciliaciones)</t>
        </is>
      </c>
      <c r="B30" s="90" t="n"/>
      <c r="C30" s="97" t="n"/>
      <c r="D30" s="97" t="n"/>
      <c r="E30" s="97" t="n"/>
      <c r="F30" s="98" t="n"/>
      <c r="G30" s="95" t="n"/>
      <c r="H30" s="131" t="n"/>
      <c r="I30" s="95" t="n"/>
      <c r="M30" s="48" t="n"/>
    </row>
    <row r="31" ht="30" customHeight="1" s="103">
      <c r="A31" s="89" t="inlineStr">
        <is>
          <t>Aprobó (Representante Legal / Director Nacional de Cuentas Medicas)</t>
        </is>
      </c>
      <c r="B31" s="90" t="n"/>
      <c r="C31" s="97" t="n"/>
      <c r="D31" s="97" t="n"/>
      <c r="E31" s="97" t="n"/>
      <c r="F31" s="98" t="n"/>
      <c r="G31" s="95" t="n"/>
      <c r="H31" s="131" t="n"/>
      <c r="I31" s="95" t="n"/>
      <c r="M31" s="48" t="n"/>
    </row>
    <row r="32" ht="20" customHeight="1" s="103">
      <c r="A32" s="89" t="inlineStr">
        <is>
          <t>Revisión por Director de auditoria en Salud</t>
        </is>
      </c>
      <c r="B32" s="90" t="n"/>
      <c r="C32" s="97" t="n"/>
      <c r="D32" s="97" t="n"/>
      <c r="E32" s="97" t="n"/>
      <c r="F32" s="98" t="n"/>
      <c r="G32" s="95" t="n"/>
      <c r="H32" s="131" t="n"/>
      <c r="I32" s="95" t="n"/>
      <c r="M32" s="48" t="n"/>
    </row>
    <row r="33" ht="30" customHeight="1" s="103">
      <c r="A33" s="89" t="inlineStr">
        <is>
          <t>Revisión por Vicepresidencia de Planeación y Control Financiero</t>
        </is>
      </c>
      <c r="B33" s="90" t="n"/>
      <c r="C33" s="97" t="n"/>
      <c r="D33" s="97" t="n"/>
      <c r="E33" s="97" t="n"/>
      <c r="F33" s="98" t="n"/>
      <c r="G33" s="95" t="n"/>
      <c r="H33" s="131" t="n"/>
      <c r="I33" s="95" t="n"/>
      <c r="M33" s="48" t="n"/>
    </row>
  </sheetData>
  <mergeCells count="2">
    <mergeCell ref="F28:G28"/>
    <mergeCell ref="H4:J4"/>
  </mergeCells>
  <pageMargins left="0.7" right="0.7" top="0.75" bottom="0.75" header="0.3" footer="0.3"/>
  <pageSetup orientation="landscape" scale="5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Burton Barrera Nuñez</dc:creator>
  <dcterms:created xmlns:dcterms="http://purl.org/dc/terms/" xmlns:xsi="http://www.w3.org/2001/XMLSchema-instance" xsi:type="dcterms:W3CDTF">2025-03-27T17:19:06Z</dcterms:created>
  <dcterms:modified xmlns:dcterms="http://purl.org/dc/terms/" xmlns:xsi="http://www.w3.org/2001/XMLSchema-instance" xsi:type="dcterms:W3CDTF">2026-03-11T15:43:14Z</dcterms:modified>
  <cp:lastModifiedBy>ROMERO  CARLOS ANDRES</cp:lastModifiedBy>
  <cp:lastPrinted>2025-08-11T22:44:13Z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2025-02-03T00:00:00Z</vt:filetime>
  </property>
  <property name="Creator" fmtid="{D5CDD505-2E9C-101B-9397-08002B2CF9AE}" pid="3">
    <vt:lpwstr xmlns:vt="http://schemas.openxmlformats.org/officeDocument/2006/docPropsVTypes">Microsoft® Excel® 2019</vt:lpwstr>
  </property>
  <property name="LastSaved" fmtid="{D5CDD505-2E9C-101B-9397-08002B2CF9AE}" pid="4">
    <vt:filetime xmlns:vt="http://schemas.openxmlformats.org/officeDocument/2006/docPropsVTypes">2025-03-27T00:00:00Z</vt:filetime>
  </property>
  <property name="Producer" fmtid="{D5CDD505-2E9C-101B-9397-08002B2CF9AE}" pid="5">
    <vt:lpwstr xmlns:vt="http://schemas.openxmlformats.org/officeDocument/2006/docPropsVTypes">Microsoft® Excel® 2019</vt:lpwstr>
  </property>
</Properties>
</file>